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ik/projects/github_prj/EV_MAB_compGeno/EVMAB_scripts_dir/readMappingScrips/"/>
    </mc:Choice>
  </mc:AlternateContent>
  <xr:revisionPtr revIDLastSave="0" documentId="8_{ED447C1A-2722-C24F-8798-9A086990B7C5}" xr6:coauthVersionLast="47" xr6:coauthVersionMax="47" xr10:uidLastSave="{00000000-0000-0000-0000-000000000000}"/>
  <bookViews>
    <workbookView xWindow="0" yWindow="740" windowWidth="30240" windowHeight="18900" activeTab="2" xr2:uid="{AC0106C5-7CCE-6D40-B505-883D356BF355}"/>
  </bookViews>
  <sheets>
    <sheet name="Stable_2" sheetId="1" r:id="rId1"/>
    <sheet name="Stable_3" sheetId="2" r:id="rId2"/>
    <sheet name="Stable_21" sheetId="5" r:id="rId3"/>
  </sheets>
  <definedNames>
    <definedName name="_xlnm.Print_Area" localSheetId="0">Stable_2!$C$1:$J$23</definedName>
    <definedName name="_xlnm.Print_Area" localSheetId="2">Stable_21!$C$1:$H$21</definedName>
    <definedName name="_xlnm.Print_Area" localSheetId="1">Stable_3!$A$1:$H$53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5" l="1"/>
  <c r="F54" i="2"/>
  <c r="F50" i="2"/>
  <c r="F11" i="2"/>
  <c r="H23" i="1"/>
  <c r="H26" i="1" s="1"/>
</calcChain>
</file>

<file path=xl/sharedStrings.xml><?xml version="1.0" encoding="utf-8"?>
<sst xmlns="http://schemas.openxmlformats.org/spreadsheetml/2006/main" count="513" uniqueCount="178">
  <si>
    <r>
      <t>Supplementary Table 2. Genomic reads of enset (</t>
    </r>
    <r>
      <rPr>
        <i/>
        <sz val="11"/>
        <color theme="1"/>
        <rFont val="Times New Roman"/>
        <family val="1"/>
      </rPr>
      <t>E. ventricosum</t>
    </r>
    <r>
      <rPr>
        <sz val="11"/>
        <color theme="1"/>
        <rFont val="Times New Roman"/>
        <family val="1"/>
      </rPr>
      <t>) landraces used in the study</t>
    </r>
  </si>
  <si>
    <t>No</t>
  </si>
  <si>
    <t>Genotypes or landraces</t>
  </si>
  <si>
    <t>Species*</t>
  </si>
  <si>
    <t>Cutivated/wild</t>
  </si>
  <si>
    <t>Number of bases (Gb)</t>
  </si>
  <si>
    <t>SRA sample</t>
  </si>
  <si>
    <t>BioProject</t>
  </si>
  <si>
    <t>Arkiya</t>
  </si>
  <si>
    <t>EV</t>
  </si>
  <si>
    <t>Cutivated</t>
  </si>
  <si>
    <t>SRR4304969, SRR4304970</t>
  </si>
  <si>
    <t>PRJNA344540</t>
  </si>
  <si>
    <r>
      <rPr>
        <sz val="11"/>
        <rFont val="Times New Roman"/>
        <family val="1"/>
      </rPr>
      <t>Cultivar</t>
    </r>
    <r>
      <rPr>
        <i/>
        <sz val="11"/>
        <rFont val="Times New Roman"/>
        <family val="1"/>
      </rPr>
      <t xml:space="preserve"> </t>
    </r>
    <r>
      <rPr>
        <sz val="11"/>
        <rFont val="Times New Roman"/>
        <family val="1"/>
      </rPr>
      <t>ITC1387</t>
    </r>
  </si>
  <si>
    <t>NA</t>
  </si>
  <si>
    <t>ERR10695598</t>
  </si>
  <si>
    <t>PRJEB58004</t>
  </si>
  <si>
    <t>Cultivated</t>
  </si>
  <si>
    <t>SRR4304981, SRR4304987</t>
  </si>
  <si>
    <t>Astara</t>
  </si>
  <si>
    <t>SRR4304989</t>
  </si>
  <si>
    <t>Bedadeti</t>
  </si>
  <si>
    <t>SRR1515268, SRR1515269</t>
  </si>
  <si>
    <t>PRJNA252658</t>
  </si>
  <si>
    <t>Buffero</t>
  </si>
  <si>
    <t>SRR4304990</t>
  </si>
  <si>
    <t>Derea</t>
  </si>
  <si>
    <t>SRR4308285, SRR4308286</t>
  </si>
  <si>
    <t>Lochingie</t>
  </si>
  <si>
    <t>SRR4304974, SRR4304975</t>
  </si>
  <si>
    <t>Mazia</t>
  </si>
  <si>
    <t>SRR4304976, SRR4304977</t>
  </si>
  <si>
    <t>SRR4304978, SRR4304979</t>
  </si>
  <si>
    <t xml:space="preserve">will be updated upon submission </t>
  </si>
  <si>
    <t>same here</t>
  </si>
  <si>
    <t>Nechuwe</t>
  </si>
  <si>
    <t>SRR4304982</t>
  </si>
  <si>
    <t>Nobo</t>
  </si>
  <si>
    <t>SRR4304983</t>
  </si>
  <si>
    <t>Onjamo</t>
  </si>
  <si>
    <t>SRR4308284</t>
  </si>
  <si>
    <t>Siyuti</t>
  </si>
  <si>
    <t>SRR4304984</t>
  </si>
  <si>
    <t>Yako</t>
  </si>
  <si>
    <t>SRR4304985</t>
  </si>
  <si>
    <t>Yanbule</t>
  </si>
  <si>
    <t>SRR4304986</t>
  </si>
  <si>
    <t>Jungle seed</t>
  </si>
  <si>
    <t>Wild</t>
  </si>
  <si>
    <t>SRR610420</t>
  </si>
  <si>
    <t>PRJNA170519</t>
  </si>
  <si>
    <t>Erpha 13</t>
  </si>
  <si>
    <t>SRR4304991, SRR4304992</t>
  </si>
  <si>
    <t>Erpha 20</t>
  </si>
  <si>
    <t>SRR4304971, SRR4304993</t>
  </si>
  <si>
    <r>
      <t xml:space="preserve">*Species:- EV: </t>
    </r>
    <r>
      <rPr>
        <i/>
        <sz val="11"/>
        <color theme="1"/>
        <rFont val="Times New Roman"/>
        <family val="1"/>
      </rPr>
      <t>Ensete ventricosum</t>
    </r>
    <r>
      <rPr>
        <sz val="11"/>
        <color theme="1"/>
        <rFont val="Times New Roman"/>
        <family val="1"/>
      </rPr>
      <t xml:space="preserve">, MA: </t>
    </r>
    <r>
      <rPr>
        <i/>
        <sz val="11"/>
        <color theme="1"/>
        <rFont val="Times New Roman"/>
        <family val="1"/>
      </rPr>
      <t>Musa acuminata</t>
    </r>
    <r>
      <rPr>
        <sz val="11"/>
        <color theme="1"/>
        <rFont val="Times New Roman"/>
        <family val="1"/>
      </rPr>
      <t xml:space="preserve">, MB: </t>
    </r>
    <r>
      <rPr>
        <i/>
        <sz val="11"/>
        <color theme="1"/>
        <rFont val="Times New Roman"/>
        <family val="1"/>
      </rPr>
      <t>Musa balbisiana</t>
    </r>
  </si>
  <si>
    <r>
      <t>Supplementary Table 3. Genomic reads of banana (</t>
    </r>
    <r>
      <rPr>
        <i/>
        <sz val="12"/>
        <color theme="1"/>
        <rFont val="Times New Roman"/>
        <family val="1"/>
      </rPr>
      <t>Musa spp</t>
    </r>
    <r>
      <rPr>
        <sz val="12"/>
        <color theme="1"/>
        <rFont val="Times New Roman"/>
        <family val="1"/>
      </rPr>
      <t>.) genotypes used in the study</t>
    </r>
  </si>
  <si>
    <r>
      <rPr>
        <b/>
        <i/>
        <sz val="11"/>
        <rFont val="Times New Roman"/>
        <family val="1"/>
      </rPr>
      <t>Musa</t>
    </r>
    <r>
      <rPr>
        <b/>
        <sz val="11"/>
        <rFont val="Times New Roman"/>
        <family val="1"/>
      </rPr>
      <t xml:space="preserve"> spp. sub-genome composition </t>
    </r>
  </si>
  <si>
    <t>Reads type</t>
  </si>
  <si>
    <t xml:space="preserve">AA or AAA type banana genotype </t>
  </si>
  <si>
    <t xml:space="preserve">Double haploid (DH)-Pahang </t>
  </si>
  <si>
    <t>MA</t>
  </si>
  <si>
    <t>AA</t>
  </si>
  <si>
    <t>NGS</t>
  </si>
  <si>
    <t>ERR3606950, ERR3606951</t>
  </si>
  <si>
    <t xml:space="preserve">PRJEB35002 </t>
  </si>
  <si>
    <t>Pisang_Kra (subsp. malaccensis)</t>
  </si>
  <si>
    <t xml:space="preserve">SRR6996493	</t>
  </si>
  <si>
    <t>PRJNA432894</t>
  </si>
  <si>
    <r>
      <rPr>
        <i/>
        <sz val="11"/>
        <rFont val="Times New Roman"/>
        <family val="1"/>
      </rPr>
      <t>Musa acuminata</t>
    </r>
    <r>
      <rPr>
        <sz val="11"/>
        <rFont val="Times New Roman"/>
        <family val="1"/>
      </rPr>
      <t xml:space="preserve"> subsp. malaccensis</t>
    </r>
  </si>
  <si>
    <t>SRR8989632</t>
  </si>
  <si>
    <t xml:space="preserve">PRJNA540118 </t>
  </si>
  <si>
    <r>
      <rPr>
        <i/>
        <sz val="11"/>
        <rFont val="Times New Roman"/>
        <family val="1"/>
      </rPr>
      <t>Musa acuminata</t>
    </r>
    <r>
      <rPr>
        <sz val="11"/>
        <rFont val="Times New Roman"/>
        <family val="1"/>
      </rPr>
      <t xml:space="preserve"> Pisang Mas (subgroup Sucrier)</t>
    </r>
  </si>
  <si>
    <t xml:space="preserve">SRR6996492	</t>
  </si>
  <si>
    <r>
      <t xml:space="preserve">Musa acuminata </t>
    </r>
    <r>
      <rPr>
        <sz val="11"/>
        <rFont val="Times New Roman"/>
        <family val="1"/>
      </rPr>
      <t>Pisang Mas (subgroup Sucrier)</t>
    </r>
  </si>
  <si>
    <t>SRR8989638</t>
  </si>
  <si>
    <t>PRJNA540118</t>
  </si>
  <si>
    <r>
      <rPr>
        <i/>
        <sz val="11"/>
        <rFont val="Times New Roman"/>
        <family val="1"/>
      </rPr>
      <t>Musa acuminata</t>
    </r>
    <r>
      <rPr>
        <sz val="11"/>
        <rFont val="Times New Roman"/>
        <family val="1"/>
      </rPr>
      <t>  Green-Red</t>
    </r>
  </si>
  <si>
    <t>SRR8989628, SRR9734077</t>
  </si>
  <si>
    <r>
      <rPr>
        <i/>
        <sz val="11"/>
        <rFont val="Times New Roman"/>
        <family val="1"/>
      </rPr>
      <t>Musa acuminata </t>
    </r>
    <r>
      <rPr>
        <sz val="11"/>
        <rFont val="Times New Roman"/>
        <family val="1"/>
      </rPr>
      <t xml:space="preserve"> Paka</t>
    </r>
  </si>
  <si>
    <t>SRR8989629</t>
  </si>
  <si>
    <r>
      <t>Musa acuminata</t>
    </r>
    <r>
      <rPr>
        <sz val="11"/>
        <rFont val="Times New Roman"/>
        <family val="1"/>
      </rPr>
      <t> ‘Calypso’</t>
    </r>
  </si>
  <si>
    <t>SRR9734076</t>
  </si>
  <si>
    <t>Musa x paradisiaca</t>
  </si>
  <si>
    <r>
      <t xml:space="preserve">Musa acuminata subsp. </t>
    </r>
    <r>
      <rPr>
        <sz val="11"/>
        <rFont val="Times New Roman"/>
        <family val="1"/>
      </rPr>
      <t>Zebrina</t>
    </r>
  </si>
  <si>
    <t>SRR8989630, SRR9734074</t>
  </si>
  <si>
    <t>Musa acuminata; Kole</t>
  </si>
  <si>
    <t>ERR10695600</t>
  </si>
  <si>
    <t>Musa acuminata; Pisang Kra</t>
  </si>
  <si>
    <t>ERR10695594</t>
  </si>
  <si>
    <r>
      <t xml:space="preserve">Musa acuminata; </t>
    </r>
    <r>
      <rPr>
        <sz val="11"/>
        <rFont val="Times New Roman"/>
        <family val="1"/>
      </rPr>
      <t>ssp. Banksii</t>
    </r>
  </si>
  <si>
    <t>ERR10695588</t>
  </si>
  <si>
    <r>
      <t xml:space="preserve">Musa acuminata; </t>
    </r>
    <r>
      <rPr>
        <sz val="11"/>
        <rFont val="Times New Roman"/>
        <family val="1"/>
      </rPr>
      <t xml:space="preserve">Higa </t>
    </r>
  </si>
  <si>
    <t>ERR10695582</t>
  </si>
  <si>
    <r>
      <t xml:space="preserve">Musa acuminata </t>
    </r>
    <r>
      <rPr>
        <sz val="11"/>
        <rFont val="Times New Roman"/>
        <family val="1"/>
      </rPr>
      <t>var. zebrina; Pisang Cici Alas</t>
    </r>
  </si>
  <si>
    <t>ERR10695581</t>
  </si>
  <si>
    <r>
      <t xml:space="preserve">Musa acuminata </t>
    </r>
    <r>
      <rPr>
        <sz val="11"/>
        <rFont val="Times New Roman"/>
        <family val="1"/>
      </rPr>
      <t>subsp. malaccensis; Malaccensis nain</t>
    </r>
  </si>
  <si>
    <t xml:space="preserve">ERR10695579	</t>
  </si>
  <si>
    <t>Musa acuminata; Waigu</t>
  </si>
  <si>
    <t>ERR10695577</t>
  </si>
  <si>
    <t>Musa acuminata subsp. truncata; Truncata</t>
  </si>
  <si>
    <t xml:space="preserve">ERR10695576	</t>
  </si>
  <si>
    <t>Musa acuminata subsp. malaccensis; Selangor</t>
  </si>
  <si>
    <t>ERR10695573</t>
  </si>
  <si>
    <t>Musa acuminata subsp. malaccensis; Pisang Segun</t>
  </si>
  <si>
    <t>ERR10695572</t>
  </si>
  <si>
    <t>Musa acuminata subsp. siamea; Pisang Prentel</t>
  </si>
  <si>
    <t>ERR10695570</t>
  </si>
  <si>
    <t>Musa acuminata subsp. siamea; Pa Rayong</t>
  </si>
  <si>
    <t>ERR10695558</t>
  </si>
  <si>
    <t>Musa acuminata subsp. burmannicoides; Calcutta 4</t>
  </si>
  <si>
    <t>ERR10695520</t>
  </si>
  <si>
    <t>Musa acuminata subsp. malaccensis; Pahang (PT-BA-00267)</t>
  </si>
  <si>
    <t xml:space="preserve">ERR10695521	</t>
  </si>
  <si>
    <t>Musa acuminata; Buitenzorg</t>
  </si>
  <si>
    <t>ERR10695532</t>
  </si>
  <si>
    <t>Musa acuminata subsp. microcarpa; Khae (Phrae)</t>
  </si>
  <si>
    <t>ERR10695543</t>
  </si>
  <si>
    <t>Musa acuminata subsp. microcarpa; Borneo</t>
  </si>
  <si>
    <t xml:space="preserve">ERR10695531	</t>
  </si>
  <si>
    <t>Musa acuminata subsp. Malaccensis</t>
  </si>
  <si>
    <t>SRR24350318</t>
  </si>
  <si>
    <t>PRJNA962682</t>
  </si>
  <si>
    <t>Cavendish</t>
  </si>
  <si>
    <t>AAA</t>
  </si>
  <si>
    <t>SRR6147593</t>
  </si>
  <si>
    <t>PRJNA413600</t>
  </si>
  <si>
    <t>Gros Michel</t>
  </si>
  <si>
    <t>SRR6996490</t>
  </si>
  <si>
    <t xml:space="preserve">PRJNA432894 </t>
  </si>
  <si>
    <t>BaXiJiao</t>
  </si>
  <si>
    <t>SRR6996491</t>
  </si>
  <si>
    <t>ERR3412984</t>
  </si>
  <si>
    <t>PRJEB33317</t>
  </si>
  <si>
    <r>
      <t xml:space="preserve">Musa acuminata </t>
    </r>
    <r>
      <rPr>
        <sz val="11"/>
        <rFont val="Times New Roman"/>
        <family val="1"/>
      </rPr>
      <t>subgr. Sucrier : Pisang_Mas</t>
    </r>
  </si>
  <si>
    <t>SRR6996492</t>
  </si>
  <si>
    <r>
      <t xml:space="preserve">Musa acuminata </t>
    </r>
    <r>
      <rPr>
        <sz val="11"/>
        <rFont val="Times New Roman"/>
        <family val="1"/>
      </rPr>
      <t>subsp. Malaccensis</t>
    </r>
  </si>
  <si>
    <t>ONT</t>
  </si>
  <si>
    <t>SRR24350320</t>
  </si>
  <si>
    <t>PACBIO HIFI</t>
  </si>
  <si>
    <t>SRR24350321</t>
  </si>
  <si>
    <r>
      <t xml:space="preserve">Musa acuminata </t>
    </r>
    <r>
      <rPr>
        <sz val="11"/>
        <rFont val="Times New Roman"/>
        <family val="1"/>
      </rPr>
      <t>AAA Group (Cavendish banana ('Baxijiao') )</t>
    </r>
  </si>
  <si>
    <t>SRR24235288</t>
  </si>
  <si>
    <t>PRJNA957115</t>
  </si>
  <si>
    <t xml:space="preserve">SRR24235289	</t>
  </si>
  <si>
    <t xml:space="preserve">BB type banana genotype </t>
  </si>
  <si>
    <t xml:space="preserve">Musa balbisiana; Balbisiana Honduras </t>
  </si>
  <si>
    <t>MB</t>
  </si>
  <si>
    <t>ERR10695529</t>
  </si>
  <si>
    <r>
      <rPr>
        <i/>
        <sz val="11"/>
        <rFont val="Times New Roman"/>
        <family val="1"/>
      </rPr>
      <t xml:space="preserve">Musa balbisiana </t>
    </r>
    <r>
      <rPr>
        <sz val="11"/>
        <rFont val="Times New Roman"/>
        <family val="1"/>
      </rPr>
      <t>Cultivar DYN018</t>
    </r>
  </si>
  <si>
    <t>BB</t>
  </si>
  <si>
    <t xml:space="preserve">ERR10695603	</t>
  </si>
  <si>
    <r>
      <rPr>
        <i/>
        <sz val="11"/>
        <rFont val="Times New Roman"/>
        <family val="1"/>
      </rPr>
      <t>Musa balbisiana</t>
    </r>
    <r>
      <rPr>
        <sz val="11"/>
        <rFont val="Times New Roman"/>
        <family val="1"/>
      </rPr>
      <t xml:space="preserve"> Cultivar DYN049 (Butuhan)</t>
    </r>
  </si>
  <si>
    <t xml:space="preserve">ERR10695605	</t>
  </si>
  <si>
    <r>
      <rPr>
        <i/>
        <sz val="11"/>
        <rFont val="Times New Roman"/>
        <family val="1"/>
      </rPr>
      <t>Musa balbisiana</t>
    </r>
    <r>
      <rPr>
        <sz val="11"/>
        <rFont val="Times New Roman"/>
        <family val="1"/>
      </rPr>
      <t xml:space="preserve"> Cultivar DYN172 (Lal Velchi)</t>
    </r>
  </si>
  <si>
    <t xml:space="preserve">ERR10695608	</t>
  </si>
  <si>
    <r>
      <rPr>
        <i/>
        <sz val="11"/>
        <rFont val="Times New Roman"/>
        <family val="1"/>
      </rPr>
      <t xml:space="preserve">Musa balbisiana </t>
    </r>
    <r>
      <rPr>
        <sz val="11"/>
        <rFont val="Times New Roman"/>
        <family val="1"/>
      </rPr>
      <t xml:space="preserve">DH-Pisang Klutuk Wulung </t>
    </r>
  </si>
  <si>
    <t>SRR6996489</t>
  </si>
  <si>
    <r>
      <rPr>
        <i/>
        <sz val="11"/>
        <rFont val="Times New Roman"/>
        <family val="1"/>
      </rPr>
      <t>Musa balbisiana</t>
    </r>
    <r>
      <rPr>
        <sz val="11"/>
        <rFont val="Times New Roman"/>
        <family val="1"/>
      </rPr>
      <t xml:space="preserve"> DH-Pisang Klutuk Wulung </t>
    </r>
  </si>
  <si>
    <t>SRR956987,SRR957627</t>
  </si>
  <si>
    <t>PRJNA216985</t>
  </si>
  <si>
    <r>
      <rPr>
        <i/>
        <sz val="11"/>
        <rFont val="Times New Roman"/>
        <family val="1"/>
      </rPr>
      <t>Musa balbisiana</t>
    </r>
    <r>
      <rPr>
        <sz val="11"/>
        <rFont val="Times New Roman"/>
        <family val="1"/>
      </rPr>
      <t xml:space="preserve"> Cultivar DYN302 (Pisang Klutuk Wulung)</t>
    </r>
  </si>
  <si>
    <t>ERR10695565</t>
  </si>
  <si>
    <t>Musa balbisiana</t>
  </si>
  <si>
    <t>SRR6147592</t>
  </si>
  <si>
    <t>SRR6996488</t>
  </si>
  <si>
    <t>SRR8989633, SRR9734079, SRR9850640</t>
  </si>
  <si>
    <t>ERR3606950</t>
  </si>
  <si>
    <r>
      <t xml:space="preserve">Musa balbisiana </t>
    </r>
    <r>
      <rPr>
        <sz val="11"/>
        <rFont val="Times New Roman"/>
        <family val="1"/>
      </rPr>
      <t>Pisang Klutuk Wulung</t>
    </r>
  </si>
  <si>
    <t>PACBIO</t>
  </si>
  <si>
    <t>Source:  CNGB Run  ( ID CNR0255329 )</t>
  </si>
  <si>
    <r>
      <t xml:space="preserve">*Species:- MA: </t>
    </r>
    <r>
      <rPr>
        <i/>
        <sz val="11"/>
        <color theme="1"/>
        <rFont val="Times New Roman"/>
        <family val="1"/>
      </rPr>
      <t>Musa acuminata</t>
    </r>
    <r>
      <rPr>
        <sz val="11"/>
        <color theme="1"/>
        <rFont val="Times New Roman"/>
        <family val="1"/>
      </rPr>
      <t xml:space="preserve">, MB: </t>
    </r>
    <r>
      <rPr>
        <i/>
        <sz val="11"/>
        <color theme="1"/>
        <rFont val="Times New Roman"/>
        <family val="1"/>
      </rPr>
      <t>Musa balbisiana</t>
    </r>
  </si>
  <si>
    <t>genotypes</t>
  </si>
  <si>
    <t>size</t>
  </si>
  <si>
    <t>species</t>
  </si>
  <si>
    <t>cultivated_wild</t>
  </si>
  <si>
    <t>sra</t>
  </si>
  <si>
    <t>bioproject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</si>
</sst>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1"/>
      <name val="Times New Roman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/>
    </xf>
    <xf numFmtId="0" fontId="9" fillId="0" borderId="0" xfId="0" applyFont="1"/>
    <xf numFmtId="43" fontId="0" fillId="0" borderId="0" xfId="1" applyFont="1"/>
    <xf numFmtId="43" fontId="0" fillId="0" borderId="0" xfId="0" applyNumberFormat="1"/>
    <xf numFmtId="3" fontId="0" fillId="0" borderId="0" xfId="0" applyNumberFormat="1"/>
    <xf numFmtId="0" fontId="10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6" fillId="0" borderId="0" xfId="0" applyFont="1" applyAlignment="1">
      <alignment horizontal="center" vertical="center"/>
    </xf>
    <xf numFmtId="0" fontId="13" fillId="0" borderId="0" xfId="0" applyFont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/>
    <xf numFmtId="0" fontId="4" fillId="0" borderId="2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0" fontId="7" fillId="0" borderId="3" xfId="0" applyFont="1" applyBorder="1"/>
    <xf numFmtId="0" fontId="6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b.cngb.org/search/run/CNR0255329/" TargetMode="External"/><Relationship Id="rId2" Type="http://schemas.openxmlformats.org/officeDocument/2006/relationships/hyperlink" Target="https://trace.ncbi.nlm.nih.gov/Traces?run=ERR10695565" TargetMode="External"/><Relationship Id="rId1" Type="http://schemas.openxmlformats.org/officeDocument/2006/relationships/hyperlink" Target="https://www.ncbi.nlm.nih.gov/bioproject/PRJEB58004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34C-01E5-0F43-A1C5-9B7485405B4A}">
  <dimension ref="C1:J28"/>
  <sheetViews>
    <sheetView view="pageBreakPreview" zoomScale="200" zoomScaleNormal="100" zoomScaleSheetLayoutView="130" workbookViewId="0">
      <selection activeCell="A6" sqref="A6:XFD6"/>
    </sheetView>
  </sheetViews>
  <sheetFormatPr baseColWidth="10" defaultColWidth="11" defaultRowHeight="16" x14ac:dyDescent="0.2"/>
  <cols>
    <col min="3" max="3" width="3.6640625" bestFit="1" customWidth="1"/>
    <col min="4" max="4" width="50.1640625" customWidth="1"/>
    <col min="6" max="6" width="18.1640625" customWidth="1"/>
    <col min="7" max="7" width="12.33203125" customWidth="1"/>
    <col min="8" max="8" width="13" bestFit="1" customWidth="1"/>
    <col min="9" max="9" width="34.1640625" bestFit="1" customWidth="1"/>
    <col min="10" max="10" width="13" bestFit="1" customWidth="1"/>
  </cols>
  <sheetData>
    <row r="1" spans="3:10" ht="17" thickBot="1" x14ac:dyDescent="0.25">
      <c r="C1" s="1" t="s">
        <v>0</v>
      </c>
      <c r="D1" s="1"/>
      <c r="E1" s="1"/>
      <c r="F1" s="1"/>
      <c r="G1" s="1"/>
      <c r="H1" s="1"/>
      <c r="I1" s="1"/>
      <c r="J1" s="2"/>
    </row>
    <row r="2" spans="3:10" ht="32" thickTop="1" thickBot="1" x14ac:dyDescent="0.25">
      <c r="C2" s="3" t="s">
        <v>1</v>
      </c>
      <c r="D2" s="3" t="s">
        <v>2</v>
      </c>
      <c r="E2" s="4" t="s">
        <v>3</v>
      </c>
      <c r="F2" s="5" t="s">
        <v>4</v>
      </c>
      <c r="G2" s="5"/>
      <c r="H2" s="5" t="s">
        <v>5</v>
      </c>
      <c r="I2" s="4" t="s">
        <v>6</v>
      </c>
      <c r="J2" s="4" t="s">
        <v>7</v>
      </c>
    </row>
    <row r="3" spans="3:10" ht="17" thickTop="1" x14ac:dyDescent="0.2">
      <c r="C3" s="6">
        <v>1</v>
      </c>
      <c r="D3" s="6" t="s">
        <v>8</v>
      </c>
      <c r="E3" s="7" t="s">
        <v>9</v>
      </c>
      <c r="F3" s="6" t="s">
        <v>10</v>
      </c>
      <c r="G3" s="6"/>
      <c r="H3" s="8">
        <v>4.8</v>
      </c>
      <c r="I3" s="6" t="s">
        <v>11</v>
      </c>
      <c r="J3" s="6" t="s">
        <v>12</v>
      </c>
    </row>
    <row r="4" spans="3:10" x14ac:dyDescent="0.2">
      <c r="C4" s="9">
        <v>2</v>
      </c>
      <c r="D4" s="10" t="s">
        <v>13</v>
      </c>
      <c r="E4" s="7" t="s">
        <v>9</v>
      </c>
      <c r="F4" s="11" t="s">
        <v>14</v>
      </c>
      <c r="G4" s="11"/>
      <c r="H4" s="12">
        <v>15.9</v>
      </c>
      <c r="I4" s="2" t="s">
        <v>15</v>
      </c>
      <c r="J4" s="2" t="s">
        <v>16</v>
      </c>
    </row>
    <row r="5" spans="3:10" x14ac:dyDescent="0.2">
      <c r="C5" s="13">
        <v>3</v>
      </c>
      <c r="D5" s="14" t="s">
        <v>8</v>
      </c>
      <c r="E5" s="7" t="s">
        <v>9</v>
      </c>
      <c r="F5" s="13" t="s">
        <v>17</v>
      </c>
      <c r="G5" s="13"/>
      <c r="H5" s="15">
        <v>5</v>
      </c>
      <c r="I5" s="13" t="s">
        <v>18</v>
      </c>
      <c r="J5" s="13" t="s">
        <v>12</v>
      </c>
    </row>
    <row r="6" spans="3:10" x14ac:dyDescent="0.2">
      <c r="C6" s="9">
        <v>4</v>
      </c>
      <c r="D6" s="9" t="s">
        <v>19</v>
      </c>
      <c r="E6" s="7" t="s">
        <v>9</v>
      </c>
      <c r="F6" s="9" t="s">
        <v>17</v>
      </c>
      <c r="G6" s="9"/>
      <c r="H6" s="12">
        <v>4.3</v>
      </c>
      <c r="I6" s="2" t="s">
        <v>20</v>
      </c>
      <c r="J6" s="2" t="s">
        <v>12</v>
      </c>
    </row>
    <row r="7" spans="3:10" x14ac:dyDescent="0.2">
      <c r="C7" s="13">
        <v>5</v>
      </c>
      <c r="D7" s="9" t="s">
        <v>21</v>
      </c>
      <c r="E7" s="7" t="s">
        <v>9</v>
      </c>
      <c r="F7" s="9" t="s">
        <v>17</v>
      </c>
      <c r="G7" s="9"/>
      <c r="H7" s="12">
        <v>18.3</v>
      </c>
      <c r="I7" s="2" t="s">
        <v>22</v>
      </c>
      <c r="J7" s="2" t="s">
        <v>23</v>
      </c>
    </row>
    <row r="8" spans="3:10" x14ac:dyDescent="0.2">
      <c r="C8" s="9">
        <v>6</v>
      </c>
      <c r="D8" s="9" t="s">
        <v>24</v>
      </c>
      <c r="E8" s="7" t="s">
        <v>9</v>
      </c>
      <c r="F8" s="9" t="s">
        <v>17</v>
      </c>
      <c r="G8" s="9"/>
      <c r="H8" s="12">
        <v>5</v>
      </c>
      <c r="I8" s="2" t="s">
        <v>25</v>
      </c>
      <c r="J8" s="2" t="s">
        <v>12</v>
      </c>
    </row>
    <row r="9" spans="3:10" x14ac:dyDescent="0.2">
      <c r="C9" s="13">
        <v>7</v>
      </c>
      <c r="D9" s="9" t="s">
        <v>26</v>
      </c>
      <c r="E9" s="7" t="s">
        <v>9</v>
      </c>
      <c r="F9" s="9" t="s">
        <v>17</v>
      </c>
      <c r="G9" s="9"/>
      <c r="H9" s="12">
        <v>25.2</v>
      </c>
      <c r="I9" s="2" t="s">
        <v>27</v>
      </c>
      <c r="J9" s="2" t="s">
        <v>12</v>
      </c>
    </row>
    <row r="10" spans="3:10" x14ac:dyDescent="0.2">
      <c r="C10" s="9">
        <v>8</v>
      </c>
      <c r="D10" s="9" t="s">
        <v>28</v>
      </c>
      <c r="E10" s="7" t="s">
        <v>9</v>
      </c>
      <c r="F10" s="9" t="s">
        <v>17</v>
      </c>
      <c r="G10" s="9"/>
      <c r="H10" s="12">
        <v>5.4</v>
      </c>
      <c r="I10" s="2" t="s">
        <v>29</v>
      </c>
      <c r="J10" s="2" t="s">
        <v>12</v>
      </c>
    </row>
    <row r="11" spans="3:10" x14ac:dyDescent="0.2">
      <c r="C11" s="13">
        <v>9</v>
      </c>
      <c r="D11" s="9" t="s">
        <v>30</v>
      </c>
      <c r="E11" s="7" t="s">
        <v>9</v>
      </c>
      <c r="F11" s="9" t="s">
        <v>17</v>
      </c>
      <c r="G11" s="9"/>
      <c r="H11" s="12">
        <v>4.9000000000000004</v>
      </c>
      <c r="I11" s="2" t="s">
        <v>31</v>
      </c>
      <c r="J11" s="2" t="s">
        <v>12</v>
      </c>
    </row>
    <row r="12" spans="3:10" x14ac:dyDescent="0.2">
      <c r="C12" s="9">
        <v>10</v>
      </c>
      <c r="D12" s="9" t="s">
        <v>30</v>
      </c>
      <c r="E12" s="7" t="s">
        <v>9</v>
      </c>
      <c r="F12" s="9" t="s">
        <v>17</v>
      </c>
      <c r="G12" s="9"/>
      <c r="H12" s="12">
        <v>5.2</v>
      </c>
      <c r="I12" s="2" t="s">
        <v>32</v>
      </c>
      <c r="J12" s="2" t="s">
        <v>12</v>
      </c>
    </row>
    <row r="13" spans="3:10" x14ac:dyDescent="0.2">
      <c r="C13" s="13">
        <v>11</v>
      </c>
      <c r="D13" s="9" t="s">
        <v>30</v>
      </c>
      <c r="E13" s="7" t="s">
        <v>9</v>
      </c>
      <c r="F13" s="9" t="s">
        <v>17</v>
      </c>
      <c r="G13" s="9"/>
      <c r="H13" s="12">
        <v>192.2</v>
      </c>
      <c r="I13" s="16" t="s">
        <v>33</v>
      </c>
      <c r="J13" s="16" t="s">
        <v>34</v>
      </c>
    </row>
    <row r="14" spans="3:10" x14ac:dyDescent="0.2">
      <c r="C14" s="9">
        <v>12</v>
      </c>
      <c r="D14" s="9" t="s">
        <v>35</v>
      </c>
      <c r="E14" s="7" t="s">
        <v>9</v>
      </c>
      <c r="F14" s="9" t="s">
        <v>17</v>
      </c>
      <c r="G14" s="9"/>
      <c r="H14" s="12">
        <v>5.6</v>
      </c>
      <c r="I14" s="2" t="s">
        <v>36</v>
      </c>
      <c r="J14" s="2" t="s">
        <v>12</v>
      </c>
    </row>
    <row r="15" spans="3:10" x14ac:dyDescent="0.2">
      <c r="C15" s="13">
        <v>13</v>
      </c>
      <c r="D15" s="9" t="s">
        <v>37</v>
      </c>
      <c r="E15" s="7" t="s">
        <v>9</v>
      </c>
      <c r="F15" s="9" t="s">
        <v>17</v>
      </c>
      <c r="G15" s="9"/>
      <c r="H15" s="12">
        <v>4.8</v>
      </c>
      <c r="I15" s="2" t="s">
        <v>38</v>
      </c>
      <c r="J15" s="2" t="s">
        <v>12</v>
      </c>
    </row>
    <row r="16" spans="3:10" x14ac:dyDescent="0.2">
      <c r="C16" s="9">
        <v>14</v>
      </c>
      <c r="D16" s="9" t="s">
        <v>39</v>
      </c>
      <c r="E16" s="7" t="s">
        <v>9</v>
      </c>
      <c r="F16" s="9" t="s">
        <v>17</v>
      </c>
      <c r="G16" s="9"/>
      <c r="H16" s="12">
        <v>6.6</v>
      </c>
      <c r="I16" s="2" t="s">
        <v>40</v>
      </c>
      <c r="J16" s="2" t="s">
        <v>12</v>
      </c>
    </row>
    <row r="17" spans="3:10" x14ac:dyDescent="0.2">
      <c r="C17" s="13">
        <v>15</v>
      </c>
      <c r="D17" s="9" t="s">
        <v>41</v>
      </c>
      <c r="E17" s="7" t="s">
        <v>9</v>
      </c>
      <c r="F17" s="9" t="s">
        <v>17</v>
      </c>
      <c r="G17" s="9"/>
      <c r="H17" s="12">
        <v>4.5999999999999996</v>
      </c>
      <c r="I17" s="2" t="s">
        <v>42</v>
      </c>
      <c r="J17" s="2" t="s">
        <v>12</v>
      </c>
    </row>
    <row r="18" spans="3:10" x14ac:dyDescent="0.2">
      <c r="C18" s="9">
        <v>16</v>
      </c>
      <c r="D18" s="14" t="s">
        <v>43</v>
      </c>
      <c r="E18" s="7" t="s">
        <v>9</v>
      </c>
      <c r="F18" s="9" t="s">
        <v>17</v>
      </c>
      <c r="G18" s="13"/>
      <c r="H18" s="15">
        <v>4.9000000000000004</v>
      </c>
      <c r="I18" s="13" t="s">
        <v>44</v>
      </c>
      <c r="J18" s="13" t="s">
        <v>12</v>
      </c>
    </row>
    <row r="19" spans="3:10" x14ac:dyDescent="0.2">
      <c r="C19" s="13">
        <v>17</v>
      </c>
      <c r="D19" s="9" t="s">
        <v>45</v>
      </c>
      <c r="E19" s="7" t="s">
        <v>9</v>
      </c>
      <c r="F19" s="9" t="s">
        <v>17</v>
      </c>
      <c r="G19" s="9"/>
      <c r="H19" s="12">
        <v>5.4</v>
      </c>
      <c r="I19" s="2" t="s">
        <v>46</v>
      </c>
      <c r="J19" s="2" t="s">
        <v>12</v>
      </c>
    </row>
    <row r="20" spans="3:10" x14ac:dyDescent="0.2">
      <c r="C20" s="9">
        <v>18</v>
      </c>
      <c r="D20" s="9" t="s">
        <v>47</v>
      </c>
      <c r="E20" s="7" t="s">
        <v>9</v>
      </c>
      <c r="F20" s="9" t="s">
        <v>48</v>
      </c>
      <c r="G20" s="9"/>
      <c r="H20" s="12">
        <v>40.4</v>
      </c>
      <c r="I20" s="2" t="s">
        <v>49</v>
      </c>
      <c r="J20" s="2" t="s">
        <v>50</v>
      </c>
    </row>
    <row r="21" spans="3:10" x14ac:dyDescent="0.2">
      <c r="C21" s="13">
        <v>19</v>
      </c>
      <c r="D21" s="9" t="s">
        <v>51</v>
      </c>
      <c r="E21" s="7" t="s">
        <v>9</v>
      </c>
      <c r="F21" s="9" t="s">
        <v>48</v>
      </c>
      <c r="G21" s="9"/>
      <c r="H21" s="12">
        <v>5.7</v>
      </c>
      <c r="I21" s="2" t="s">
        <v>52</v>
      </c>
      <c r="J21" s="2" t="s">
        <v>12</v>
      </c>
    </row>
    <row r="22" spans="3:10" x14ac:dyDescent="0.2">
      <c r="C22" s="9">
        <v>20</v>
      </c>
      <c r="D22" s="9" t="s">
        <v>53</v>
      </c>
      <c r="E22" s="7" t="s">
        <v>9</v>
      </c>
      <c r="F22" s="9" t="s">
        <v>48</v>
      </c>
      <c r="G22" s="9"/>
      <c r="H22" s="12">
        <v>6.3</v>
      </c>
      <c r="I22" s="2" t="s">
        <v>54</v>
      </c>
      <c r="J22" s="2" t="s">
        <v>12</v>
      </c>
    </row>
    <row r="23" spans="3:10" x14ac:dyDescent="0.2">
      <c r="C23" s="2"/>
      <c r="D23" s="2" t="s">
        <v>55</v>
      </c>
      <c r="E23" s="2"/>
      <c r="F23" s="9"/>
      <c r="G23" s="2"/>
      <c r="H23" s="2">
        <f>ROUND(SUM(H3:H22),2)</f>
        <v>370.5</v>
      </c>
      <c r="I23" s="2"/>
      <c r="J23" s="2"/>
    </row>
    <row r="26" spans="3:10" x14ac:dyDescent="0.2">
      <c r="H26" s="17">
        <f>H23+Stable_3!F54</f>
        <v>1732.2000000000005</v>
      </c>
      <c r="I26" s="18"/>
    </row>
    <row r="27" spans="3:10" x14ac:dyDescent="0.2">
      <c r="H27" s="17"/>
    </row>
    <row r="28" spans="3:10" x14ac:dyDescent="0.2">
      <c r="H28" s="19"/>
    </row>
  </sheetData>
  <pageMargins left="0.45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37B8-74E1-804B-AC52-88B54458133B}">
  <dimension ref="A1:P55"/>
  <sheetViews>
    <sheetView view="pageBreakPreview" topLeftCell="A18" zoomScale="125" zoomScaleNormal="100" zoomScaleSheetLayoutView="85" workbookViewId="0">
      <selection activeCell="G8" sqref="G8"/>
    </sheetView>
  </sheetViews>
  <sheetFormatPr baseColWidth="10" defaultColWidth="11" defaultRowHeight="16" x14ac:dyDescent="0.2"/>
  <cols>
    <col min="1" max="1" width="3.6640625" bestFit="1" customWidth="1"/>
    <col min="2" max="2" width="50.1640625" customWidth="1"/>
    <col min="4" max="4" width="18.1640625" customWidth="1"/>
    <col min="5" max="5" width="12.33203125" customWidth="1"/>
    <col min="6" max="6" width="13" bestFit="1" customWidth="1"/>
    <col min="7" max="7" width="34.1640625" bestFit="1" customWidth="1"/>
    <col min="8" max="8" width="13" bestFit="1" customWidth="1"/>
    <col min="9" max="10" width="13" customWidth="1"/>
  </cols>
  <sheetData>
    <row r="1" spans="1:16" ht="17" thickBot="1" x14ac:dyDescent="0.25">
      <c r="A1" s="20"/>
      <c r="B1" s="20" t="s">
        <v>56</v>
      </c>
      <c r="C1" s="20"/>
      <c r="D1" s="20"/>
      <c r="E1" s="20"/>
      <c r="F1" s="20"/>
      <c r="G1" s="20"/>
      <c r="H1" s="20"/>
    </row>
    <row r="2" spans="1:16" ht="32" thickTop="1" thickBot="1" x14ac:dyDescent="0.25">
      <c r="A2" s="3" t="s">
        <v>1</v>
      </c>
      <c r="B2" s="3" t="s">
        <v>2</v>
      </c>
      <c r="C2" s="4" t="s">
        <v>3</v>
      </c>
      <c r="D2" s="5" t="s">
        <v>57</v>
      </c>
      <c r="E2" s="5" t="s">
        <v>58</v>
      </c>
      <c r="F2" s="5" t="s">
        <v>5</v>
      </c>
      <c r="G2" s="4" t="s">
        <v>6</v>
      </c>
      <c r="H2" s="4" t="s">
        <v>7</v>
      </c>
    </row>
    <row r="3" spans="1:16" ht="18" thickTop="1" thickBot="1" x14ac:dyDescent="0.25">
      <c r="A3" s="21"/>
      <c r="B3" s="21" t="s">
        <v>59</v>
      </c>
      <c r="C3" s="22"/>
      <c r="D3" s="23"/>
      <c r="E3" s="23"/>
      <c r="F3" s="24"/>
      <c r="G3" s="25"/>
      <c r="H3" s="25"/>
    </row>
    <row r="4" spans="1:16" ht="17" thickTop="1" x14ac:dyDescent="0.2">
      <c r="A4" s="9">
        <v>1</v>
      </c>
      <c r="B4" s="9" t="s">
        <v>60</v>
      </c>
      <c r="C4" s="7" t="s">
        <v>61</v>
      </c>
      <c r="D4" s="11" t="s">
        <v>62</v>
      </c>
      <c r="E4" s="11" t="s">
        <v>63</v>
      </c>
      <c r="F4" s="26">
        <v>64.400000000000006</v>
      </c>
      <c r="G4" s="27" t="s">
        <v>64</v>
      </c>
      <c r="H4" s="27" t="s">
        <v>65</v>
      </c>
    </row>
    <row r="5" spans="1:16" x14ac:dyDescent="0.2">
      <c r="A5" s="9">
        <v>2</v>
      </c>
      <c r="B5" s="9" t="s">
        <v>66</v>
      </c>
      <c r="C5" s="7" t="s">
        <v>61</v>
      </c>
      <c r="D5" s="11" t="s">
        <v>62</v>
      </c>
      <c r="E5" s="11" t="s">
        <v>63</v>
      </c>
      <c r="F5" s="12">
        <v>17.600000000000001</v>
      </c>
      <c r="G5" s="2" t="s">
        <v>67</v>
      </c>
      <c r="H5" s="2" t="s">
        <v>68</v>
      </c>
    </row>
    <row r="6" spans="1:16" x14ac:dyDescent="0.2">
      <c r="A6" s="9">
        <v>3</v>
      </c>
      <c r="B6" s="9" t="s">
        <v>69</v>
      </c>
      <c r="C6" s="7" t="s">
        <v>61</v>
      </c>
      <c r="D6" s="11" t="s">
        <v>62</v>
      </c>
      <c r="E6" s="11" t="s">
        <v>63</v>
      </c>
      <c r="F6" s="12">
        <v>20</v>
      </c>
      <c r="G6" s="2" t="s">
        <v>70</v>
      </c>
      <c r="H6" s="2" t="s">
        <v>71</v>
      </c>
    </row>
    <row r="7" spans="1:16" x14ac:dyDescent="0.2">
      <c r="A7" s="9">
        <v>4</v>
      </c>
      <c r="B7" s="9" t="s">
        <v>72</v>
      </c>
      <c r="C7" s="7" t="s">
        <v>61</v>
      </c>
      <c r="D7" s="11" t="s">
        <v>62</v>
      </c>
      <c r="E7" s="11" t="s">
        <v>63</v>
      </c>
      <c r="F7" s="12">
        <v>17</v>
      </c>
      <c r="G7" s="2" t="s">
        <v>73</v>
      </c>
      <c r="H7" s="2" t="s">
        <v>68</v>
      </c>
    </row>
    <row r="8" spans="1:16" x14ac:dyDescent="0.2">
      <c r="A8" s="9">
        <v>5</v>
      </c>
      <c r="B8" s="10" t="s">
        <v>74</v>
      </c>
      <c r="C8" s="7" t="s">
        <v>61</v>
      </c>
      <c r="D8" s="11" t="s">
        <v>62</v>
      </c>
      <c r="E8" s="11" t="s">
        <v>63</v>
      </c>
      <c r="F8" s="12">
        <v>23.8</v>
      </c>
      <c r="G8" s="2" t="s">
        <v>75</v>
      </c>
      <c r="H8" s="2" t="s">
        <v>76</v>
      </c>
    </row>
    <row r="9" spans="1:16" x14ac:dyDescent="0.2">
      <c r="A9" s="9">
        <v>6</v>
      </c>
      <c r="B9" s="9" t="s">
        <v>77</v>
      </c>
      <c r="C9" s="7" t="s">
        <v>61</v>
      </c>
      <c r="D9" s="11" t="s">
        <v>62</v>
      </c>
      <c r="E9" s="11" t="s">
        <v>63</v>
      </c>
      <c r="F9" s="12">
        <v>36.700000000000003</v>
      </c>
      <c r="G9" s="2" t="s">
        <v>78</v>
      </c>
      <c r="H9" s="2" t="s">
        <v>76</v>
      </c>
    </row>
    <row r="10" spans="1:16" x14ac:dyDescent="0.2">
      <c r="A10" s="9">
        <v>7</v>
      </c>
      <c r="B10" s="9" t="s">
        <v>79</v>
      </c>
      <c r="C10" s="7" t="s">
        <v>61</v>
      </c>
      <c r="D10" s="11" t="s">
        <v>62</v>
      </c>
      <c r="E10" s="11" t="s">
        <v>63</v>
      </c>
      <c r="F10" s="12">
        <v>17.399999999999999</v>
      </c>
      <c r="G10" s="2" t="s">
        <v>80</v>
      </c>
      <c r="H10" s="2" t="s">
        <v>76</v>
      </c>
    </row>
    <row r="11" spans="1:16" s="29" customFormat="1" x14ac:dyDescent="0.2">
      <c r="A11" s="9">
        <v>8</v>
      </c>
      <c r="B11" s="10" t="s">
        <v>81</v>
      </c>
      <c r="C11" s="7" t="s">
        <v>61</v>
      </c>
      <c r="D11" s="11" t="s">
        <v>62</v>
      </c>
      <c r="E11" s="11" t="s">
        <v>63</v>
      </c>
      <c r="F11" s="28">
        <f>24.2+8.2+13.7</f>
        <v>46.099999999999994</v>
      </c>
      <c r="G11" s="9" t="s">
        <v>82</v>
      </c>
      <c r="H11" s="9" t="s">
        <v>76</v>
      </c>
      <c r="P11" s="14" t="s">
        <v>83</v>
      </c>
    </row>
    <row r="12" spans="1:16" s="29" customFormat="1" x14ac:dyDescent="0.2">
      <c r="A12" s="9">
        <v>9</v>
      </c>
      <c r="B12" s="10" t="s">
        <v>84</v>
      </c>
      <c r="C12" s="7" t="s">
        <v>61</v>
      </c>
      <c r="D12" s="11" t="s">
        <v>62</v>
      </c>
      <c r="E12" s="11" t="s">
        <v>63</v>
      </c>
      <c r="F12" s="28">
        <v>35.700000000000003</v>
      </c>
      <c r="G12" s="9" t="s">
        <v>85</v>
      </c>
      <c r="H12" s="9" t="s">
        <v>76</v>
      </c>
    </row>
    <row r="13" spans="1:16" s="29" customFormat="1" x14ac:dyDescent="0.2">
      <c r="A13" s="9">
        <v>10</v>
      </c>
      <c r="B13" s="10" t="s">
        <v>86</v>
      </c>
      <c r="C13" s="7" t="s">
        <v>61</v>
      </c>
      <c r="D13" s="11" t="s">
        <v>62</v>
      </c>
      <c r="E13" s="11" t="s">
        <v>63</v>
      </c>
      <c r="F13" s="28">
        <v>24.7</v>
      </c>
      <c r="G13" s="9" t="s">
        <v>87</v>
      </c>
      <c r="H13" s="9" t="s">
        <v>16</v>
      </c>
    </row>
    <row r="14" spans="1:16" s="29" customFormat="1" x14ac:dyDescent="0.2">
      <c r="A14" s="9">
        <v>11</v>
      </c>
      <c r="B14" s="10" t="s">
        <v>88</v>
      </c>
      <c r="C14" s="7" t="s">
        <v>61</v>
      </c>
      <c r="D14" s="11" t="s">
        <v>62</v>
      </c>
      <c r="E14" s="11" t="s">
        <v>63</v>
      </c>
      <c r="F14" s="28">
        <v>20.399999999999999</v>
      </c>
      <c r="G14" s="9" t="s">
        <v>89</v>
      </c>
      <c r="H14" s="9" t="s">
        <v>16</v>
      </c>
    </row>
    <row r="15" spans="1:16" s="29" customFormat="1" x14ac:dyDescent="0.2">
      <c r="A15" s="9">
        <v>12</v>
      </c>
      <c r="B15" s="10" t="s">
        <v>90</v>
      </c>
      <c r="C15" s="7" t="s">
        <v>61</v>
      </c>
      <c r="D15" s="11" t="s">
        <v>62</v>
      </c>
      <c r="E15" s="11" t="s">
        <v>63</v>
      </c>
      <c r="F15" s="28">
        <v>19.3</v>
      </c>
      <c r="G15" s="9" t="s">
        <v>91</v>
      </c>
      <c r="H15" s="9" t="s">
        <v>16</v>
      </c>
    </row>
    <row r="16" spans="1:16" s="29" customFormat="1" x14ac:dyDescent="0.2">
      <c r="A16" s="9">
        <v>13</v>
      </c>
      <c r="B16" s="10" t="s">
        <v>92</v>
      </c>
      <c r="C16" s="7" t="s">
        <v>61</v>
      </c>
      <c r="D16" s="11" t="s">
        <v>62</v>
      </c>
      <c r="E16" s="11" t="s">
        <v>63</v>
      </c>
      <c r="F16" s="28">
        <v>21.2</v>
      </c>
      <c r="G16" s="9" t="s">
        <v>93</v>
      </c>
      <c r="H16" s="9" t="s">
        <v>16</v>
      </c>
    </row>
    <row r="17" spans="1:8" s="29" customFormat="1" x14ac:dyDescent="0.2">
      <c r="A17" s="9">
        <v>14</v>
      </c>
      <c r="B17" s="10" t="s">
        <v>94</v>
      </c>
      <c r="C17" s="7" t="s">
        <v>61</v>
      </c>
      <c r="D17" s="11" t="s">
        <v>62</v>
      </c>
      <c r="E17" s="11" t="s">
        <v>63</v>
      </c>
      <c r="F17" s="28">
        <v>19.8</v>
      </c>
      <c r="G17" s="9" t="s">
        <v>95</v>
      </c>
      <c r="H17" s="9" t="s">
        <v>16</v>
      </c>
    </row>
    <row r="18" spans="1:8" s="29" customFormat="1" x14ac:dyDescent="0.2">
      <c r="A18" s="9">
        <v>15</v>
      </c>
      <c r="B18" s="10" t="s">
        <v>96</v>
      </c>
      <c r="C18" s="7" t="s">
        <v>61</v>
      </c>
      <c r="D18" s="11" t="s">
        <v>62</v>
      </c>
      <c r="E18" s="11" t="s">
        <v>63</v>
      </c>
      <c r="F18" s="28">
        <v>22.5</v>
      </c>
      <c r="G18" s="9" t="s">
        <v>97</v>
      </c>
      <c r="H18" s="9" t="s">
        <v>16</v>
      </c>
    </row>
    <row r="19" spans="1:8" s="29" customFormat="1" x14ac:dyDescent="0.2">
      <c r="A19" s="9">
        <v>16</v>
      </c>
      <c r="B19" s="10" t="s">
        <v>98</v>
      </c>
      <c r="C19" s="7" t="s">
        <v>61</v>
      </c>
      <c r="D19" s="11" t="s">
        <v>62</v>
      </c>
      <c r="E19" s="11" t="s">
        <v>63</v>
      </c>
      <c r="F19" s="28">
        <v>23.6</v>
      </c>
      <c r="G19" s="9" t="s">
        <v>99</v>
      </c>
      <c r="H19" s="9" t="s">
        <v>16</v>
      </c>
    </row>
    <row r="20" spans="1:8" s="29" customFormat="1" x14ac:dyDescent="0.2">
      <c r="A20" s="9">
        <v>17</v>
      </c>
      <c r="B20" s="10" t="s">
        <v>100</v>
      </c>
      <c r="C20" s="7" t="s">
        <v>61</v>
      </c>
      <c r="D20" s="11" t="s">
        <v>62</v>
      </c>
      <c r="E20" s="11" t="s">
        <v>63</v>
      </c>
      <c r="F20" s="28">
        <v>18</v>
      </c>
      <c r="G20" s="9" t="s">
        <v>101</v>
      </c>
      <c r="H20" s="9" t="s">
        <v>16</v>
      </c>
    </row>
    <row r="21" spans="1:8" s="29" customFormat="1" x14ac:dyDescent="0.2">
      <c r="A21" s="9">
        <v>18</v>
      </c>
      <c r="B21" s="10" t="s">
        <v>102</v>
      </c>
      <c r="C21" s="7" t="s">
        <v>61</v>
      </c>
      <c r="D21" s="11" t="s">
        <v>62</v>
      </c>
      <c r="E21" s="11" t="s">
        <v>63</v>
      </c>
      <c r="F21" s="28">
        <v>19.600000000000001</v>
      </c>
      <c r="G21" s="9" t="s">
        <v>103</v>
      </c>
      <c r="H21" s="9" t="s">
        <v>16</v>
      </c>
    </row>
    <row r="22" spans="1:8" s="29" customFormat="1" x14ac:dyDescent="0.2">
      <c r="A22" s="9">
        <v>19</v>
      </c>
      <c r="B22" s="10" t="s">
        <v>104</v>
      </c>
      <c r="C22" s="7" t="s">
        <v>61</v>
      </c>
      <c r="D22" s="11" t="s">
        <v>62</v>
      </c>
      <c r="E22" s="11" t="s">
        <v>63</v>
      </c>
      <c r="F22" s="28">
        <v>21.3</v>
      </c>
      <c r="G22" s="9" t="s">
        <v>105</v>
      </c>
      <c r="H22" s="9" t="s">
        <v>16</v>
      </c>
    </row>
    <row r="23" spans="1:8" s="29" customFormat="1" x14ac:dyDescent="0.2">
      <c r="A23" s="9">
        <v>20</v>
      </c>
      <c r="B23" s="10" t="s">
        <v>106</v>
      </c>
      <c r="C23" s="7" t="s">
        <v>61</v>
      </c>
      <c r="D23" s="11" t="s">
        <v>62</v>
      </c>
      <c r="E23" s="11" t="s">
        <v>63</v>
      </c>
      <c r="F23" s="28">
        <v>22.4</v>
      </c>
      <c r="G23" s="9" t="s">
        <v>107</v>
      </c>
      <c r="H23" s="9" t="s">
        <v>16</v>
      </c>
    </row>
    <row r="24" spans="1:8" s="29" customFormat="1" x14ac:dyDescent="0.2">
      <c r="A24" s="9">
        <v>21</v>
      </c>
      <c r="B24" s="10" t="s">
        <v>108</v>
      </c>
      <c r="C24" s="7" t="s">
        <v>61</v>
      </c>
      <c r="D24" s="11" t="s">
        <v>62</v>
      </c>
      <c r="E24" s="11" t="s">
        <v>63</v>
      </c>
      <c r="F24" s="28">
        <v>18.600000000000001</v>
      </c>
      <c r="G24" s="9" t="s">
        <v>109</v>
      </c>
      <c r="H24" s="9" t="s">
        <v>16</v>
      </c>
    </row>
    <row r="25" spans="1:8" s="29" customFormat="1" x14ac:dyDescent="0.2">
      <c r="A25" s="9">
        <v>22</v>
      </c>
      <c r="B25" s="10" t="s">
        <v>110</v>
      </c>
      <c r="C25" s="7" t="s">
        <v>61</v>
      </c>
      <c r="D25" s="11" t="s">
        <v>62</v>
      </c>
      <c r="E25" s="11" t="s">
        <v>63</v>
      </c>
      <c r="F25" s="28">
        <v>24.1</v>
      </c>
      <c r="G25" s="9" t="s">
        <v>111</v>
      </c>
      <c r="H25" s="9" t="s">
        <v>16</v>
      </c>
    </row>
    <row r="26" spans="1:8" s="29" customFormat="1" x14ac:dyDescent="0.2">
      <c r="A26" s="9">
        <v>23</v>
      </c>
      <c r="B26" s="10" t="s">
        <v>112</v>
      </c>
      <c r="C26" s="7" t="s">
        <v>61</v>
      </c>
      <c r="D26" s="11" t="s">
        <v>62</v>
      </c>
      <c r="E26" s="11" t="s">
        <v>63</v>
      </c>
      <c r="F26" s="28">
        <v>17.2</v>
      </c>
      <c r="G26" s="9" t="s">
        <v>113</v>
      </c>
      <c r="H26" s="9" t="s">
        <v>16</v>
      </c>
    </row>
    <row r="27" spans="1:8" s="29" customFormat="1" x14ac:dyDescent="0.2">
      <c r="A27" s="9">
        <v>24</v>
      </c>
      <c r="B27" s="10" t="s">
        <v>114</v>
      </c>
      <c r="C27" s="7" t="s">
        <v>61</v>
      </c>
      <c r="D27" s="11" t="s">
        <v>62</v>
      </c>
      <c r="E27" s="11" t="s">
        <v>63</v>
      </c>
      <c r="F27" s="28">
        <v>21.8</v>
      </c>
      <c r="G27" s="9" t="s">
        <v>115</v>
      </c>
      <c r="H27" s="9" t="s">
        <v>16</v>
      </c>
    </row>
    <row r="28" spans="1:8" s="29" customFormat="1" x14ac:dyDescent="0.2">
      <c r="A28" s="9">
        <v>25</v>
      </c>
      <c r="B28" s="10" t="s">
        <v>116</v>
      </c>
      <c r="C28" s="7" t="s">
        <v>61</v>
      </c>
      <c r="D28" s="11" t="s">
        <v>62</v>
      </c>
      <c r="E28" s="11" t="s">
        <v>63</v>
      </c>
      <c r="F28" s="28">
        <v>20.100000000000001</v>
      </c>
      <c r="G28" s="9" t="s">
        <v>117</v>
      </c>
      <c r="H28" s="9" t="s">
        <v>16</v>
      </c>
    </row>
    <row r="29" spans="1:8" s="29" customFormat="1" x14ac:dyDescent="0.2">
      <c r="A29" s="9">
        <v>26</v>
      </c>
      <c r="B29" s="10" t="s">
        <v>118</v>
      </c>
      <c r="C29" s="7" t="s">
        <v>61</v>
      </c>
      <c r="D29" s="11" t="s">
        <v>62</v>
      </c>
      <c r="E29" s="11" t="s">
        <v>63</v>
      </c>
      <c r="F29" s="28">
        <v>19.3</v>
      </c>
      <c r="G29" s="9" t="s">
        <v>119</v>
      </c>
      <c r="H29" s="9" t="s">
        <v>16</v>
      </c>
    </row>
    <row r="30" spans="1:8" x14ac:dyDescent="0.2">
      <c r="A30" s="9">
        <v>27</v>
      </c>
      <c r="B30" s="10" t="s">
        <v>120</v>
      </c>
      <c r="C30" s="7" t="s">
        <v>61</v>
      </c>
      <c r="D30" s="11" t="s">
        <v>62</v>
      </c>
      <c r="E30" s="11" t="s">
        <v>63</v>
      </c>
      <c r="F30" s="12">
        <v>15.6</v>
      </c>
      <c r="G30" s="2" t="s">
        <v>121</v>
      </c>
      <c r="H30" s="2" t="s">
        <v>122</v>
      </c>
    </row>
    <row r="31" spans="1:8" x14ac:dyDescent="0.2">
      <c r="A31" s="9">
        <v>28</v>
      </c>
      <c r="B31" s="9" t="s">
        <v>123</v>
      </c>
      <c r="C31" s="7" t="s">
        <v>61</v>
      </c>
      <c r="D31" s="11" t="s">
        <v>124</v>
      </c>
      <c r="E31" s="11" t="s">
        <v>63</v>
      </c>
      <c r="F31" s="12">
        <v>16.7</v>
      </c>
      <c r="G31" s="2" t="s">
        <v>125</v>
      </c>
      <c r="H31" s="2" t="s">
        <v>126</v>
      </c>
    </row>
    <row r="32" spans="1:8" x14ac:dyDescent="0.2">
      <c r="A32" s="9">
        <v>29</v>
      </c>
      <c r="B32" s="9" t="s">
        <v>127</v>
      </c>
      <c r="C32" s="7" t="s">
        <v>61</v>
      </c>
      <c r="D32" s="11" t="s">
        <v>124</v>
      </c>
      <c r="E32" s="11" t="s">
        <v>63</v>
      </c>
      <c r="F32" s="12">
        <v>31</v>
      </c>
      <c r="G32" s="2" t="s">
        <v>128</v>
      </c>
      <c r="H32" s="2" t="s">
        <v>129</v>
      </c>
    </row>
    <row r="33" spans="1:14" x14ac:dyDescent="0.2">
      <c r="A33" s="9">
        <v>30</v>
      </c>
      <c r="B33" s="9" t="s">
        <v>130</v>
      </c>
      <c r="C33" s="7" t="s">
        <v>61</v>
      </c>
      <c r="D33" s="11" t="s">
        <v>124</v>
      </c>
      <c r="E33" s="11" t="s">
        <v>63</v>
      </c>
      <c r="F33" s="12">
        <v>17.399999999999999</v>
      </c>
      <c r="G33" s="2" t="s">
        <v>131</v>
      </c>
      <c r="H33" s="2" t="s">
        <v>68</v>
      </c>
    </row>
    <row r="34" spans="1:14" x14ac:dyDescent="0.2">
      <c r="A34" s="9">
        <v>31</v>
      </c>
      <c r="B34" s="9" t="s">
        <v>123</v>
      </c>
      <c r="C34" s="7" t="s">
        <v>61</v>
      </c>
      <c r="D34" s="11" t="s">
        <v>124</v>
      </c>
      <c r="E34" s="11" t="s">
        <v>63</v>
      </c>
      <c r="F34" s="12">
        <v>14.5</v>
      </c>
      <c r="G34" s="2" t="s">
        <v>132</v>
      </c>
      <c r="H34" s="2" t="s">
        <v>133</v>
      </c>
    </row>
    <row r="35" spans="1:14" s="29" customFormat="1" x14ac:dyDescent="0.2">
      <c r="A35" s="9">
        <v>32</v>
      </c>
      <c r="B35" s="10" t="s">
        <v>134</v>
      </c>
      <c r="C35" s="7" t="s">
        <v>61</v>
      </c>
      <c r="D35" s="11" t="s">
        <v>62</v>
      </c>
      <c r="E35" s="11" t="s">
        <v>63</v>
      </c>
      <c r="F35" s="28">
        <v>17</v>
      </c>
      <c r="G35" s="9" t="s">
        <v>135</v>
      </c>
      <c r="H35" s="9" t="s">
        <v>68</v>
      </c>
      <c r="I35"/>
      <c r="J35"/>
      <c r="K35"/>
      <c r="L35"/>
      <c r="M35"/>
      <c r="N35"/>
    </row>
    <row r="36" spans="1:14" x14ac:dyDescent="0.2">
      <c r="A36" s="9">
        <v>33</v>
      </c>
      <c r="B36" s="10" t="s">
        <v>136</v>
      </c>
      <c r="C36" s="7" t="s">
        <v>61</v>
      </c>
      <c r="D36" s="11" t="s">
        <v>62</v>
      </c>
      <c r="E36" s="11" t="s">
        <v>137</v>
      </c>
      <c r="F36" s="12">
        <v>19.600000000000001</v>
      </c>
      <c r="G36" s="2" t="s">
        <v>138</v>
      </c>
      <c r="H36" s="2" t="s">
        <v>122</v>
      </c>
    </row>
    <row r="37" spans="1:14" x14ac:dyDescent="0.2">
      <c r="A37" s="9">
        <v>34</v>
      </c>
      <c r="B37" s="10" t="s">
        <v>136</v>
      </c>
      <c r="C37" s="7" t="s">
        <v>61</v>
      </c>
      <c r="D37" s="11" t="s">
        <v>62</v>
      </c>
      <c r="E37" s="11" t="s">
        <v>139</v>
      </c>
      <c r="F37" s="12">
        <v>32.4</v>
      </c>
      <c r="G37" s="2" t="s">
        <v>140</v>
      </c>
      <c r="H37" s="2" t="s">
        <v>122</v>
      </c>
    </row>
    <row r="38" spans="1:14" x14ac:dyDescent="0.2">
      <c r="A38" s="9">
        <v>35</v>
      </c>
      <c r="B38" s="10" t="s">
        <v>141</v>
      </c>
      <c r="C38" s="7" t="s">
        <v>61</v>
      </c>
      <c r="D38" s="11" t="s">
        <v>124</v>
      </c>
      <c r="E38" s="11" t="s">
        <v>137</v>
      </c>
      <c r="F38" s="12">
        <v>44</v>
      </c>
      <c r="G38" s="2" t="s">
        <v>142</v>
      </c>
      <c r="H38" s="2" t="s">
        <v>143</v>
      </c>
    </row>
    <row r="39" spans="1:14" ht="17" thickBot="1" x14ac:dyDescent="0.25">
      <c r="A39" s="30">
        <v>36</v>
      </c>
      <c r="B39" s="31" t="s">
        <v>141</v>
      </c>
      <c r="C39" s="32" t="s">
        <v>61</v>
      </c>
      <c r="D39" s="33" t="s">
        <v>124</v>
      </c>
      <c r="E39" s="33" t="s">
        <v>139</v>
      </c>
      <c r="F39" s="34">
        <v>102.1</v>
      </c>
      <c r="G39" s="1" t="s">
        <v>144</v>
      </c>
      <c r="H39" s="1" t="s">
        <v>143</v>
      </c>
    </row>
    <row r="40" spans="1:14" ht="18" thickTop="1" thickBot="1" x14ac:dyDescent="0.25">
      <c r="A40" s="35"/>
      <c r="B40" s="36" t="s">
        <v>145</v>
      </c>
      <c r="C40" s="37"/>
      <c r="D40" s="38"/>
      <c r="E40" s="38"/>
      <c r="F40" s="39"/>
      <c r="G40" s="40"/>
      <c r="H40" s="40"/>
    </row>
    <row r="41" spans="1:14" ht="17" thickTop="1" x14ac:dyDescent="0.2">
      <c r="A41" s="9">
        <v>37</v>
      </c>
      <c r="B41" s="10" t="s">
        <v>146</v>
      </c>
      <c r="C41" s="7" t="s">
        <v>147</v>
      </c>
      <c r="D41" s="11" t="s">
        <v>147</v>
      </c>
      <c r="E41" s="11" t="s">
        <v>63</v>
      </c>
      <c r="F41" s="12">
        <v>22.1</v>
      </c>
      <c r="G41" s="2" t="s">
        <v>148</v>
      </c>
      <c r="H41" s="2" t="s">
        <v>16</v>
      </c>
    </row>
    <row r="42" spans="1:14" x14ac:dyDescent="0.2">
      <c r="A42" s="9">
        <v>38</v>
      </c>
      <c r="B42" s="9" t="s">
        <v>149</v>
      </c>
      <c r="C42" s="7" t="s">
        <v>147</v>
      </c>
      <c r="D42" s="11" t="s">
        <v>150</v>
      </c>
      <c r="E42" s="11" t="s">
        <v>63</v>
      </c>
      <c r="F42" s="12">
        <v>36.200000000000003</v>
      </c>
      <c r="G42" s="2" t="s">
        <v>151</v>
      </c>
      <c r="H42" s="2" t="s">
        <v>16</v>
      </c>
    </row>
    <row r="43" spans="1:14" x14ac:dyDescent="0.2">
      <c r="A43" s="9">
        <v>39</v>
      </c>
      <c r="B43" s="9" t="s">
        <v>152</v>
      </c>
      <c r="C43" s="7" t="s">
        <v>147</v>
      </c>
      <c r="D43" s="11" t="s">
        <v>150</v>
      </c>
      <c r="E43" s="11" t="s">
        <v>63</v>
      </c>
      <c r="F43" s="12">
        <v>31.5</v>
      </c>
      <c r="G43" s="2" t="s">
        <v>153</v>
      </c>
      <c r="H43" s="2" t="s">
        <v>16</v>
      </c>
    </row>
    <row r="44" spans="1:14" x14ac:dyDescent="0.2">
      <c r="A44" s="9">
        <v>40</v>
      </c>
      <c r="B44" s="9" t="s">
        <v>154</v>
      </c>
      <c r="C44" s="7" t="s">
        <v>147</v>
      </c>
      <c r="D44" s="11" t="s">
        <v>150</v>
      </c>
      <c r="E44" s="11" t="s">
        <v>63</v>
      </c>
      <c r="F44" s="12">
        <v>34.1</v>
      </c>
      <c r="G44" s="2" t="s">
        <v>155</v>
      </c>
      <c r="H44" s="2" t="s">
        <v>16</v>
      </c>
    </row>
    <row r="45" spans="1:14" x14ac:dyDescent="0.2">
      <c r="A45" s="9">
        <v>41</v>
      </c>
      <c r="B45" s="9" t="s">
        <v>156</v>
      </c>
      <c r="C45" s="7" t="s">
        <v>147</v>
      </c>
      <c r="D45" s="11" t="s">
        <v>150</v>
      </c>
      <c r="E45" s="11" t="s">
        <v>63</v>
      </c>
      <c r="F45" s="12">
        <v>33.4</v>
      </c>
      <c r="G45" s="2" t="s">
        <v>157</v>
      </c>
      <c r="H45" s="2" t="s">
        <v>129</v>
      </c>
    </row>
    <row r="46" spans="1:14" x14ac:dyDescent="0.2">
      <c r="A46" s="9">
        <v>42</v>
      </c>
      <c r="B46" s="9" t="s">
        <v>158</v>
      </c>
      <c r="C46" s="7" t="s">
        <v>147</v>
      </c>
      <c r="D46" s="7" t="s">
        <v>150</v>
      </c>
      <c r="E46" s="11" t="s">
        <v>63</v>
      </c>
      <c r="F46" s="12">
        <v>56.9</v>
      </c>
      <c r="G46" s="2" t="s">
        <v>159</v>
      </c>
      <c r="H46" s="2" t="s">
        <v>160</v>
      </c>
    </row>
    <row r="47" spans="1:14" x14ac:dyDescent="0.2">
      <c r="A47" s="9">
        <v>43</v>
      </c>
      <c r="B47" s="9" t="s">
        <v>161</v>
      </c>
      <c r="C47" s="7" t="s">
        <v>147</v>
      </c>
      <c r="D47" s="7" t="s">
        <v>150</v>
      </c>
      <c r="E47" s="11" t="s">
        <v>63</v>
      </c>
      <c r="F47" s="12">
        <v>18.899999999999999</v>
      </c>
      <c r="G47" s="2" t="s">
        <v>162</v>
      </c>
      <c r="H47" s="2" t="s">
        <v>16</v>
      </c>
    </row>
    <row r="48" spans="1:14" x14ac:dyDescent="0.2">
      <c r="A48" s="9">
        <v>44</v>
      </c>
      <c r="B48" s="10" t="s">
        <v>163</v>
      </c>
      <c r="C48" s="7" t="s">
        <v>147</v>
      </c>
      <c r="D48" s="11" t="s">
        <v>150</v>
      </c>
      <c r="E48" s="11" t="s">
        <v>63</v>
      </c>
      <c r="F48" s="12">
        <v>20.5</v>
      </c>
      <c r="G48" s="2" t="s">
        <v>164</v>
      </c>
      <c r="H48" s="2" t="s">
        <v>126</v>
      </c>
    </row>
    <row r="49" spans="1:8" x14ac:dyDescent="0.2">
      <c r="A49" s="9">
        <v>45</v>
      </c>
      <c r="B49" s="10" t="s">
        <v>163</v>
      </c>
      <c r="C49" s="7" t="s">
        <v>147</v>
      </c>
      <c r="D49" s="11" t="s">
        <v>150</v>
      </c>
      <c r="E49" s="11" t="s">
        <v>63</v>
      </c>
      <c r="F49" s="12">
        <v>29.6</v>
      </c>
      <c r="G49" s="2" t="s">
        <v>165</v>
      </c>
      <c r="H49" s="2" t="s">
        <v>129</v>
      </c>
    </row>
    <row r="50" spans="1:8" x14ac:dyDescent="0.2">
      <c r="A50" s="9">
        <v>46</v>
      </c>
      <c r="B50" s="10" t="s">
        <v>163</v>
      </c>
      <c r="C50" s="7" t="s">
        <v>147</v>
      </c>
      <c r="D50" s="11" t="s">
        <v>150</v>
      </c>
      <c r="E50" s="11" t="s">
        <v>63</v>
      </c>
      <c r="F50" s="12">
        <f>23+13.5+7.9</f>
        <v>44.4</v>
      </c>
      <c r="G50" s="2" t="s">
        <v>166</v>
      </c>
      <c r="H50" s="2" t="s">
        <v>76</v>
      </c>
    </row>
    <row r="51" spans="1:8" x14ac:dyDescent="0.2">
      <c r="A51" s="9">
        <v>47</v>
      </c>
      <c r="B51" s="10" t="s">
        <v>163</v>
      </c>
      <c r="C51" s="7" t="s">
        <v>147</v>
      </c>
      <c r="D51" s="11" t="s">
        <v>150</v>
      </c>
      <c r="E51" s="11" t="s">
        <v>63</v>
      </c>
      <c r="F51" s="12">
        <v>32.200000000000003</v>
      </c>
      <c r="G51" s="2" t="s">
        <v>167</v>
      </c>
      <c r="H51" s="2" t="s">
        <v>65</v>
      </c>
    </row>
    <row r="52" spans="1:8" x14ac:dyDescent="0.2">
      <c r="A52" s="9">
        <v>48</v>
      </c>
      <c r="B52" s="10" t="s">
        <v>168</v>
      </c>
      <c r="C52" s="7"/>
      <c r="D52" s="11"/>
      <c r="E52" s="11" t="s">
        <v>169</v>
      </c>
      <c r="F52" s="12">
        <v>59</v>
      </c>
      <c r="G52" s="2" t="s">
        <v>170</v>
      </c>
      <c r="H52" s="2"/>
    </row>
    <row r="53" spans="1:8" x14ac:dyDescent="0.2">
      <c r="A53" s="9"/>
      <c r="B53" s="2" t="s">
        <v>171</v>
      </c>
      <c r="C53" s="7"/>
      <c r="D53" s="11"/>
      <c r="E53" s="11"/>
      <c r="F53" s="12"/>
      <c r="G53" s="2"/>
      <c r="H53" s="2"/>
    </row>
    <row r="54" spans="1:8" x14ac:dyDescent="0.2">
      <c r="A54" s="2"/>
      <c r="C54" s="2"/>
      <c r="D54" s="2"/>
      <c r="E54" s="2"/>
      <c r="F54">
        <f>SUM(F4:F53)</f>
        <v>1361.7000000000005</v>
      </c>
      <c r="G54" s="2"/>
      <c r="H54" s="2"/>
    </row>
    <row r="55" spans="1:8" x14ac:dyDescent="0.2">
      <c r="F55" s="19"/>
    </row>
  </sheetData>
  <hyperlinks>
    <hyperlink ref="H43" r:id="rId1" tooltip="Link to BioProject" display="https://www.ncbi.nlm.nih.gov/bioproject/PRJEB58004" xr:uid="{800B0615-DA31-0448-AD35-88D343A3442E}"/>
    <hyperlink ref="G47" r:id="rId2" display="https://trace.ncbi.nlm.nih.gov/Traces?run=ERR10695565" xr:uid="{D249DD42-E187-3649-A448-8E8A7A7B9D7A}"/>
    <hyperlink ref="B52" r:id="rId3" xr:uid="{C9E4C079-BC66-9247-9DFF-9E486D7A6868}"/>
  </hyperlinks>
  <pageMargins left="0.45" right="0.45" top="0.5" bottom="0.5" header="0.3" footer="0.3"/>
  <pageSetup paperSize="9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7E2C-7DE5-9841-88A8-322F1E183362}">
  <dimension ref="C1:H26"/>
  <sheetViews>
    <sheetView tabSelected="1" view="pageBreakPreview" zoomScale="200" zoomScaleNormal="100" zoomScaleSheetLayoutView="130" workbookViewId="0">
      <selection activeCell="G1" sqref="G1:G1048576"/>
    </sheetView>
  </sheetViews>
  <sheetFormatPr baseColWidth="10" defaultColWidth="11" defaultRowHeight="16" x14ac:dyDescent="0.2"/>
  <cols>
    <col min="3" max="3" width="15.5" bestFit="1" customWidth="1"/>
    <col min="5" max="5" width="13.5" bestFit="1" customWidth="1"/>
    <col min="6" max="6" width="6.1640625" bestFit="1" customWidth="1"/>
    <col min="7" max="7" width="34.1640625" bestFit="1" customWidth="1"/>
    <col min="8" max="8" width="13" bestFit="1" customWidth="1"/>
  </cols>
  <sheetData>
    <row r="1" spans="3:8" ht="18" thickTop="1" thickBot="1" x14ac:dyDescent="0.25">
      <c r="C1" s="3" t="s">
        <v>172</v>
      </c>
      <c r="D1" s="4" t="s">
        <v>174</v>
      </c>
      <c r="E1" s="5" t="s">
        <v>175</v>
      </c>
      <c r="F1" s="5" t="s">
        <v>173</v>
      </c>
      <c r="G1" s="4" t="s">
        <v>176</v>
      </c>
      <c r="H1" s="4" t="s">
        <v>177</v>
      </c>
    </row>
    <row r="2" spans="3:8" ht="17" thickTop="1" x14ac:dyDescent="0.2">
      <c r="C2" s="43" t="s">
        <v>13</v>
      </c>
      <c r="D2" s="7" t="s">
        <v>9</v>
      </c>
      <c r="E2" s="44" t="s">
        <v>14</v>
      </c>
      <c r="F2" s="26">
        <v>15.9</v>
      </c>
      <c r="G2" s="2" t="s">
        <v>15</v>
      </c>
      <c r="H2" s="2" t="s">
        <v>16</v>
      </c>
    </row>
    <row r="3" spans="3:8" x14ac:dyDescent="0.2">
      <c r="C3" s="9" t="s">
        <v>47</v>
      </c>
      <c r="D3" s="7" t="s">
        <v>9</v>
      </c>
      <c r="E3" s="9" t="s">
        <v>48</v>
      </c>
      <c r="F3" s="12">
        <v>40.4</v>
      </c>
      <c r="G3" s="2" t="s">
        <v>49</v>
      </c>
      <c r="H3" s="2" t="s">
        <v>50</v>
      </c>
    </row>
    <row r="4" spans="3:8" x14ac:dyDescent="0.2">
      <c r="C4" s="46" t="s">
        <v>21</v>
      </c>
      <c r="D4" s="7" t="s">
        <v>9</v>
      </c>
      <c r="E4" s="46" t="s">
        <v>17</v>
      </c>
      <c r="F4" s="45">
        <v>18.3</v>
      </c>
      <c r="G4" s="2" t="s">
        <v>22</v>
      </c>
      <c r="H4" s="2" t="s">
        <v>23</v>
      </c>
    </row>
    <row r="5" spans="3:8" x14ac:dyDescent="0.2">
      <c r="C5" s="14" t="s">
        <v>8</v>
      </c>
      <c r="D5" s="7" t="s">
        <v>9</v>
      </c>
      <c r="E5" s="13" t="s">
        <v>17</v>
      </c>
      <c r="F5" s="15">
        <v>5</v>
      </c>
      <c r="G5" s="2" t="s">
        <v>18</v>
      </c>
      <c r="H5" s="2" t="s">
        <v>12</v>
      </c>
    </row>
    <row r="6" spans="3:8" x14ac:dyDescent="0.2">
      <c r="C6" s="9" t="s">
        <v>19</v>
      </c>
      <c r="D6" s="7" t="s">
        <v>9</v>
      </c>
      <c r="E6" s="9" t="s">
        <v>17</v>
      </c>
      <c r="F6" s="12">
        <v>4.3</v>
      </c>
      <c r="G6" s="2" t="s">
        <v>20</v>
      </c>
      <c r="H6" s="2" t="s">
        <v>12</v>
      </c>
    </row>
    <row r="7" spans="3:8" x14ac:dyDescent="0.2">
      <c r="C7" s="9" t="s">
        <v>24</v>
      </c>
      <c r="D7" s="7" t="s">
        <v>9</v>
      </c>
      <c r="E7" s="9" t="s">
        <v>17</v>
      </c>
      <c r="F7" s="12">
        <v>5</v>
      </c>
      <c r="G7" s="2" t="s">
        <v>25</v>
      </c>
      <c r="H7" s="2" t="s">
        <v>12</v>
      </c>
    </row>
    <row r="8" spans="3:8" x14ac:dyDescent="0.2">
      <c r="C8" s="9" t="s">
        <v>26</v>
      </c>
      <c r="D8" s="7" t="s">
        <v>9</v>
      </c>
      <c r="E8" s="9" t="s">
        <v>17</v>
      </c>
      <c r="F8" s="12">
        <v>25.2</v>
      </c>
      <c r="G8" s="2" t="s">
        <v>27</v>
      </c>
      <c r="H8" s="2" t="s">
        <v>12</v>
      </c>
    </row>
    <row r="9" spans="3:8" x14ac:dyDescent="0.2">
      <c r="C9" s="9" t="s">
        <v>28</v>
      </c>
      <c r="D9" s="7" t="s">
        <v>9</v>
      </c>
      <c r="E9" s="9" t="s">
        <v>17</v>
      </c>
      <c r="F9" s="12">
        <v>5.4</v>
      </c>
      <c r="G9" s="2" t="s">
        <v>29</v>
      </c>
      <c r="H9" s="2" t="s">
        <v>12</v>
      </c>
    </row>
    <row r="10" spans="3:8" x14ac:dyDescent="0.2">
      <c r="C10" s="9" t="s">
        <v>30</v>
      </c>
      <c r="D10" s="7" t="s">
        <v>9</v>
      </c>
      <c r="E10" s="9" t="s">
        <v>17</v>
      </c>
      <c r="F10" s="12">
        <v>4.9000000000000004</v>
      </c>
      <c r="G10" s="2" t="s">
        <v>31</v>
      </c>
      <c r="H10" s="2" t="s">
        <v>12</v>
      </c>
    </row>
    <row r="11" spans="3:8" x14ac:dyDescent="0.2">
      <c r="C11" s="9" t="s">
        <v>30</v>
      </c>
      <c r="D11" s="7" t="s">
        <v>9</v>
      </c>
      <c r="E11" s="9" t="s">
        <v>17</v>
      </c>
      <c r="F11" s="12">
        <v>5.2</v>
      </c>
      <c r="G11" s="2" t="s">
        <v>32</v>
      </c>
      <c r="H11" s="2" t="s">
        <v>12</v>
      </c>
    </row>
    <row r="12" spans="3:8" x14ac:dyDescent="0.2">
      <c r="C12" s="9" t="s">
        <v>35</v>
      </c>
      <c r="D12" s="7" t="s">
        <v>9</v>
      </c>
      <c r="E12" s="9" t="s">
        <v>17</v>
      </c>
      <c r="F12" s="12">
        <v>5.6</v>
      </c>
      <c r="G12" s="2" t="s">
        <v>36</v>
      </c>
      <c r="H12" s="2" t="s">
        <v>12</v>
      </c>
    </row>
    <row r="13" spans="3:8" x14ac:dyDescent="0.2">
      <c r="C13" s="9" t="s">
        <v>37</v>
      </c>
      <c r="D13" s="7" t="s">
        <v>9</v>
      </c>
      <c r="E13" s="9" t="s">
        <v>17</v>
      </c>
      <c r="F13" s="12">
        <v>4.8</v>
      </c>
      <c r="G13" s="2" t="s">
        <v>38</v>
      </c>
      <c r="H13" s="2" t="s">
        <v>12</v>
      </c>
    </row>
    <row r="14" spans="3:8" x14ac:dyDescent="0.2">
      <c r="C14" s="9" t="s">
        <v>39</v>
      </c>
      <c r="D14" s="7" t="s">
        <v>9</v>
      </c>
      <c r="E14" s="9" t="s">
        <v>17</v>
      </c>
      <c r="F14" s="12">
        <v>6.6</v>
      </c>
      <c r="G14" s="2" t="s">
        <v>40</v>
      </c>
      <c r="H14" s="2" t="s">
        <v>12</v>
      </c>
    </row>
    <row r="15" spans="3:8" x14ac:dyDescent="0.2">
      <c r="C15" s="9" t="s">
        <v>41</v>
      </c>
      <c r="D15" s="7" t="s">
        <v>9</v>
      </c>
      <c r="E15" s="9" t="s">
        <v>17</v>
      </c>
      <c r="F15" s="12">
        <v>4.5999999999999996</v>
      </c>
      <c r="G15" s="2" t="s">
        <v>42</v>
      </c>
      <c r="H15" s="2" t="s">
        <v>12</v>
      </c>
    </row>
    <row r="16" spans="3:8" x14ac:dyDescent="0.2">
      <c r="C16" s="14" t="s">
        <v>43</v>
      </c>
      <c r="D16" s="7" t="s">
        <v>9</v>
      </c>
      <c r="E16" s="9" t="s">
        <v>17</v>
      </c>
      <c r="F16" s="15">
        <v>4.9000000000000004</v>
      </c>
      <c r="G16" s="2" t="s">
        <v>44</v>
      </c>
      <c r="H16" s="2" t="s">
        <v>12</v>
      </c>
    </row>
    <row r="17" spans="3:8" x14ac:dyDescent="0.2">
      <c r="C17" s="9" t="s">
        <v>45</v>
      </c>
      <c r="D17" s="7" t="s">
        <v>9</v>
      </c>
      <c r="E17" s="9" t="s">
        <v>17</v>
      </c>
      <c r="F17" s="12">
        <v>5.4</v>
      </c>
      <c r="G17" s="2" t="s">
        <v>46</v>
      </c>
      <c r="H17" s="2" t="s">
        <v>12</v>
      </c>
    </row>
    <row r="18" spans="3:8" x14ac:dyDescent="0.2">
      <c r="C18" s="42" t="s">
        <v>8</v>
      </c>
      <c r="D18" s="7" t="s">
        <v>9</v>
      </c>
      <c r="E18" s="42" t="s">
        <v>10</v>
      </c>
      <c r="F18" s="41">
        <v>4.8</v>
      </c>
      <c r="G18" s="2" t="s">
        <v>11</v>
      </c>
      <c r="H18" s="2" t="s">
        <v>12</v>
      </c>
    </row>
    <row r="19" spans="3:8" x14ac:dyDescent="0.2">
      <c r="C19" s="9" t="s">
        <v>51</v>
      </c>
      <c r="D19" s="7" t="s">
        <v>9</v>
      </c>
      <c r="E19" s="9" t="s">
        <v>48</v>
      </c>
      <c r="F19" s="12">
        <v>5.7</v>
      </c>
      <c r="G19" s="2" t="s">
        <v>52</v>
      </c>
      <c r="H19" s="2" t="s">
        <v>12</v>
      </c>
    </row>
    <row r="20" spans="3:8" x14ac:dyDescent="0.2">
      <c r="C20" s="9" t="s">
        <v>53</v>
      </c>
      <c r="D20" s="7" t="s">
        <v>9</v>
      </c>
      <c r="E20" s="9" t="s">
        <v>48</v>
      </c>
      <c r="F20" s="12">
        <v>6.3</v>
      </c>
      <c r="G20" s="2" t="s">
        <v>54</v>
      </c>
      <c r="H20" s="2" t="s">
        <v>12</v>
      </c>
    </row>
    <row r="21" spans="3:8" x14ac:dyDescent="0.2">
      <c r="C21" s="9" t="s">
        <v>30</v>
      </c>
      <c r="D21" s="7" t="s">
        <v>9</v>
      </c>
      <c r="E21" s="9" t="s">
        <v>17</v>
      </c>
      <c r="F21" s="12">
        <v>192.2</v>
      </c>
      <c r="G21" s="2" t="s">
        <v>33</v>
      </c>
      <c r="H21" s="2" t="s">
        <v>34</v>
      </c>
    </row>
    <row r="24" spans="3:8" x14ac:dyDescent="0.2">
      <c r="F24" s="17" t="e">
        <f>#REF!+Stable_3!F54</f>
        <v>#REF!</v>
      </c>
      <c r="G24" s="18"/>
    </row>
    <row r="25" spans="3:8" x14ac:dyDescent="0.2">
      <c r="F25" s="17"/>
    </row>
    <row r="26" spans="3:8" x14ac:dyDescent="0.2">
      <c r="F26" s="19"/>
    </row>
  </sheetData>
  <sortState xmlns:xlrd2="http://schemas.microsoft.com/office/spreadsheetml/2017/richdata2" ref="C2:H30">
    <sortCondition ref="H1:H30"/>
  </sortState>
  <pageMargins left="0.45" right="0.4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Stable_2</vt:lpstr>
      <vt:lpstr>Stable_3</vt:lpstr>
      <vt:lpstr>Stable_21</vt:lpstr>
      <vt:lpstr>Stable_2!Print_Area</vt:lpstr>
      <vt:lpstr>Stable_21!Print_Area</vt:lpstr>
      <vt:lpstr>Stable_3!Print_Area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Muzemil</dc:creator>
  <cp:lastModifiedBy>Sadik Muzemil</cp:lastModifiedBy>
  <dcterms:created xsi:type="dcterms:W3CDTF">2025-08-08T18:30:36Z</dcterms:created>
  <dcterms:modified xsi:type="dcterms:W3CDTF">2025-08-19T13:55:36Z</dcterms:modified>
</cp:coreProperties>
</file>